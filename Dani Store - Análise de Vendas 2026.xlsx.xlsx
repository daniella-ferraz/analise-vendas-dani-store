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3040" windowHeight="9120" firstSheet="3" activeTab="8"/>
  </bookViews>
  <sheets>
    <sheet name="Plan4" sheetId="4" state="hidden" r:id="rId1"/>
    <sheet name="Plan6" sheetId="6" state="hidden" r:id="rId2"/>
    <sheet name="Plan7" sheetId="7" state="hidden" r:id="rId3"/>
    <sheet name="Base de Dados" sheetId="1" r:id="rId4"/>
    <sheet name="Plan2" sheetId="2" state="hidden" r:id="rId5"/>
    <sheet name="Plan3" sheetId="3" state="hidden" r:id="rId6"/>
    <sheet name="Plan5" sheetId="5" state="hidden" r:id="rId7"/>
    <sheet name="Dashboard" sheetId="8" r:id="rId8"/>
    <sheet name="Insights" sheetId="9" r:id="rId9"/>
  </sheet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<sst xmlns="http://schemas.openxmlformats.org/spreadsheetml/2006/main" count="82" uniqueCount="48">
  <si>
    <t>Rótulos de Linha</t>
  </si>
  <si>
    <t>Soma de Preço</t>
  </si>
  <si>
    <t>Eletrônicos</t>
  </si>
  <si>
    <t>Móveis</t>
  </si>
  <si>
    <t>Papelaria</t>
  </si>
  <si>
    <t>Total geral</t>
  </si>
  <si>
    <t xml:space="preserve">Soma de Faturamento </t>
  </si>
  <si>
    <t>Campinas</t>
  </si>
  <si>
    <t>Santos</t>
  </si>
  <si>
    <t>São Paulo</t>
  </si>
  <si>
    <t>Data</t>
  </si>
  <si>
    <t>Produto</t>
  </si>
  <si>
    <t>Categoria</t>
  </si>
  <si>
    <t>Qauntidade</t>
  </si>
  <si>
    <t>Preço</t>
  </si>
  <si>
    <t>Cidade</t>
  </si>
  <si>
    <t xml:space="preserve">Faturamento </t>
  </si>
  <si>
    <t>Notebook</t>
  </si>
  <si>
    <t>Celular</t>
  </si>
  <si>
    <t>Impressora</t>
  </si>
  <si>
    <t>Cadeira</t>
  </si>
  <si>
    <t>Mesa</t>
  </si>
  <si>
    <t>Fone</t>
  </si>
  <si>
    <t>Mochila</t>
  </si>
  <si>
    <t>Caderno</t>
  </si>
  <si>
    <t>Teclado</t>
  </si>
  <si>
    <t>Mouse</t>
  </si>
  <si>
    <t xml:space="preserve">DANI STORE </t>
  </si>
  <si>
    <t>Dashboard de Análise de Vendas / 2026</t>
  </si>
  <si>
    <t>FATURAMENTO TOTAL</t>
  </si>
  <si>
    <t>MAIOR VENDA</t>
  </si>
  <si>
    <t>PRODUTO MIAS VENDIDO</t>
  </si>
  <si>
    <t>CIDADE COM MAIOR FATURAMENTO</t>
  </si>
  <si>
    <t>20 unidades</t>
  </si>
  <si>
    <t>ANÁLISE DE RESULTADOS</t>
  </si>
  <si>
    <t>1. FATURAMENTO TOTAL</t>
  </si>
  <si>
    <t>2. CATEGORIA COM MAIOR FATURAMENTO</t>
  </si>
  <si>
    <t>3. CIDADE COM MAIOR FATURAMENTO</t>
  </si>
  <si>
    <t>4. PRODUTO COM MAIOR QUANTIDADE VENTIDA</t>
  </si>
  <si>
    <t>5. MAIOR VENDA</t>
  </si>
  <si>
    <t>Notbook</t>
  </si>
  <si>
    <t>RECOMENDAÇÕES</t>
  </si>
  <si>
    <t>1. Fortalecer as vendas de Eletrônicos</t>
  </si>
  <si>
    <t>A categoria representa aproximadamente 77,1% do faturamento total, indicando forte desempenho e potencial para novas ações comerciais.</t>
  </si>
  <si>
    <t>2. Investir em estratégias para outras categorias</t>
  </si>
  <si>
    <t>Móveis e Papelaria apresentam faturamento menor. A empresa pode criar promoções e estratégias específicas para aumentar as vendas dessas categorias.</t>
  </si>
  <si>
    <t>3. Avaliar oportunidades em outras cidades</t>
  </si>
  <si>
    <t>São Paulo apresenta o maior faturamento. A empresa pode analisar estratégias para aumentar o desempenho de Santos e Campinas.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</si>
</sst>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;[Red]\-&quot;R$&quot;\ #,##0.00"/>
    <numFmt numFmtId="181" formatCode="&quot;R$&quot;\ #,##0.00"/>
  </numFmts>
  <fonts count="32">
    <font>
      <sz val="11"/>
      <color theme="1"/>
      <name val="Calibri"/>
      <charset val="134"/>
      <scheme val="minor"/>
    </font>
    <font>
      <b/>
      <sz val="16"/>
      <color theme="0"/>
      <name val="Arial"/>
      <charset val="134"/>
    </font>
    <font>
      <b/>
      <sz val="12"/>
      <color theme="1"/>
      <name val="Arial"/>
      <charset val="134"/>
    </font>
    <font>
      <b/>
      <sz val="14"/>
      <color theme="0"/>
      <name val="Arial"/>
      <charset val="134"/>
    </font>
    <font>
      <sz val="11"/>
      <color theme="1"/>
      <name val="Arial"/>
      <charset val="134"/>
    </font>
    <font>
      <sz val="10"/>
      <color theme="1"/>
      <name val="Arial"/>
      <charset val="134"/>
    </font>
    <font>
      <b/>
      <sz val="20"/>
      <color theme="1"/>
      <name val="Arial"/>
      <charset val="134"/>
    </font>
    <font>
      <sz val="12"/>
      <color theme="1"/>
      <name val="Arial"/>
      <charset val="134"/>
    </font>
    <font>
      <b/>
      <sz val="11"/>
      <color theme="0"/>
      <name val="Arial"/>
      <charset val="134"/>
    </font>
    <font>
      <b/>
      <sz val="12"/>
      <color theme="0"/>
      <name val="Arial"/>
      <charset val="134"/>
    </font>
    <font>
      <b/>
      <sz val="12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180" fontId="2" fillId="4" borderId="0" xfId="0" applyNumberFormat="1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4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2" fillId="4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4" fillId="0" borderId="0" xfId="0" applyFont="1" applyBorder="1"/>
    <xf numFmtId="0" fontId="7" fillId="0" borderId="0" xfId="0" applyFont="1" applyAlignment="1">
      <alignment horizontal="center"/>
    </xf>
    <xf numFmtId="0" fontId="8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vertical="center"/>
    </xf>
    <xf numFmtId="0" fontId="0" fillId="0" borderId="0" xfId="0" applyBorder="1"/>
    <xf numFmtId="180" fontId="9" fillId="2" borderId="0" xfId="0" applyNumberFormat="1" applyFont="1" applyFill="1" applyBorder="1" applyAlignment="1">
      <alignment horizontal="center" vertical="center"/>
    </xf>
    <xf numFmtId="181" fontId="9" fillId="2" borderId="0" xfId="0" applyNumberFormat="1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/>
    <xf numFmtId="0" fontId="9" fillId="2" borderId="0" xfId="0" applyFont="1" applyFill="1" applyBorder="1" applyAlignment="1">
      <alignment horizontal="center"/>
    </xf>
    <xf numFmtId="0" fontId="10" fillId="0" borderId="0" xfId="0" applyFont="1"/>
    <xf numFmtId="181" fontId="0" fillId="0" borderId="0" xfId="0" applyNumberFormat="1"/>
    <xf numFmtId="0" fontId="11" fillId="0" borderId="0" xfId="0" applyFont="1"/>
    <xf numFmtId="181" fontId="11" fillId="0" borderId="0" xfId="0" applyNumberFormat="1" applyFont="1"/>
    <xf numFmtId="58" fontId="4" fillId="0" borderId="0" xfId="0" applyNumberFormat="1" applyFont="1"/>
    <xf numFmtId="181" fontId="4" fillId="0" borderId="0" xfId="0" applyNumberFormat="1" applyFont="1"/>
    <xf numFmtId="0" fontId="0" fillId="0" borderId="0" xfId="0" applyAlignment="1">
      <alignment horizontal="left"/>
    </xf>
    <xf numFmtId="0" fontId="0" fillId="0" borderId="0" xfId="0" applyNumberForma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9">
    <dxf>
      <numFmt numFmtId="181" formatCode="&quot;R$&quot;\ #,##0.00"/>
    </dxf>
    <dxf>
      <numFmt numFmtId="181" formatCode="&quot;R$&quot;\ #,##0.00"/>
    </dxf>
    <dxf>
      <font>
        <name val="Arial"/>
        <scheme val="none"/>
        <strike val="0"/>
        <u val="none"/>
        <sz val="11"/>
        <color theme="1"/>
      </font>
      <numFmt numFmtId="58" formatCode="dd/mm/yyyy"/>
    </dxf>
    <dxf>
      <font>
        <name val="Arial"/>
        <scheme val="none"/>
        <strike val="0"/>
        <u val="none"/>
        <sz val="11"/>
        <color theme="1"/>
      </font>
    </dxf>
    <dxf>
      <font>
        <name val="Arial"/>
        <scheme val="none"/>
        <strike val="0"/>
        <u val="none"/>
        <sz val="11"/>
        <color theme="1"/>
      </font>
    </dxf>
    <dxf>
      <font>
        <name val="Arial"/>
        <scheme val="none"/>
        <strike val="0"/>
        <u val="none"/>
        <sz val="11"/>
        <color theme="1"/>
      </font>
    </dxf>
    <dxf>
      <font>
        <name val="Arial"/>
        <scheme val="none"/>
        <strike val="0"/>
        <u val="none"/>
        <sz val="11"/>
        <color theme="1"/>
      </font>
      <numFmt numFmtId="181" formatCode="&quot;R$&quot;\ #,##0.00"/>
    </dxf>
    <dxf>
      <font>
        <name val="Arial"/>
        <scheme val="none"/>
        <strike val="0"/>
        <u val="none"/>
        <sz val="11"/>
        <color theme="1"/>
      </font>
    </dxf>
    <dxf>
      <font>
        <name val="Arial"/>
        <scheme val="none"/>
        <strike val="0"/>
        <u val="none"/>
        <sz val="11"/>
        <color theme="1"/>
      </font>
      <numFmt numFmtId="181" formatCode="&quot;R$&quot;\ 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[Dani Store - Análise de Vendas 2026.xlsx.xlsx]Plan6!Tabela dinâmica2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pt-BR" sz="18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r>
              <a:rPr lang="en-US" sz="1200">
                <a:latin typeface="Arial" panose="020B0604020202020204" pitchFamily="7" charset="0"/>
                <a:cs typeface="Arial" panose="020B0604020202020204" pitchFamily="7" charset="0"/>
              </a:rPr>
              <a:t>Faturamento por Categoria</a:t>
            </a:r>
            <a:endParaRPr lang="en-US" sz="1200">
              <a:latin typeface="Arial" panose="020B0604020202020204" pitchFamily="7" charset="0"/>
              <a:cs typeface="Arial" panose="020B0604020202020204" pitchFamily="7" charset="0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Plan6!$B$3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Plan6!$A$4:$A$7</c:f>
              <c:strCache>
                <c:ptCount val="3"/>
                <c:pt idx="0">
                  <c:v>Eletrônicos</c:v>
                </c:pt>
                <c:pt idx="1">
                  <c:v>Móveis</c:v>
                </c:pt>
                <c:pt idx="2">
                  <c:v>Papelaria</c:v>
                </c:pt>
              </c:strCache>
            </c:strRef>
          </c:cat>
          <c:val>
            <c:numRef>
              <c:f>Plan6!$B$4:$B$7</c:f>
              <c:numCache>
                <c:formatCode>"R$"\ #,##0.00</c:formatCode>
                <c:ptCount val="3"/>
                <c:pt idx="0">
                  <c:v>13650</c:v>
                </c:pt>
                <c:pt idx="1">
                  <c:v>2600</c:v>
                </c:pt>
                <c:pt idx="2">
                  <c:v>1460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5850880"/>
        <c:axId val="95853568"/>
      </c:barChart>
      <c:catAx>
        <c:axId val="9585088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853568"/>
        <c:crosses val="autoZero"/>
        <c:auto val="1"/>
        <c:lblAlgn val="ctr"/>
        <c:lblOffset val="100"/>
        <c:noMultiLvlLbl val="0"/>
      </c:catAx>
      <c:valAx>
        <c:axId val="95853568"/>
        <c:scaling>
          <c:orientation val="minMax"/>
        </c:scaling>
        <c:delete val="0"/>
        <c:axPos val="l"/>
        <c:majorGridlines/>
        <c:numFmt formatCode="&quot;R$&quot;\ 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585088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97cd0e8-16fe-4ffe-a4b9-7ddb40dd7b13}"/>
      </c:ext>
    </c:extLst>
  </c:chart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[Dani Store - Análise de Vendas 2026.xlsx.xlsx]Plan7!Tabela dinâmica3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pt-BR" sz="18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r>
              <a:rPr lang="en-US" sz="1200">
                <a:latin typeface="Arial" panose="020B0604020202020204" pitchFamily="7" charset="0"/>
                <a:cs typeface="Arial" panose="020B0604020202020204" pitchFamily="7" charset="0"/>
              </a:rPr>
              <a:t>Faturamento por Cidade</a:t>
            </a:r>
            <a:endParaRPr lang="en-US" sz="1200">
              <a:latin typeface="Arial" panose="020B0604020202020204" pitchFamily="7" charset="0"/>
              <a:cs typeface="Arial" panose="020B0604020202020204" pitchFamily="7" charset="0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Plan7!$B$3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Plan7!$A$4:$A$7</c:f>
              <c:strCache>
                <c:ptCount val="3"/>
                <c:pt idx="0">
                  <c:v>Campinas</c:v>
                </c:pt>
                <c:pt idx="1">
                  <c:v>Santos</c:v>
                </c:pt>
                <c:pt idx="2">
                  <c:v>São Paulo</c:v>
                </c:pt>
              </c:strCache>
            </c:strRef>
          </c:cat>
          <c:val>
            <c:numRef>
              <c:f>Plan7!$B$4:$B$7</c:f>
              <c:numCache>
                <c:formatCode>"R$"\ #,##0.00</c:formatCode>
                <c:ptCount val="3"/>
                <c:pt idx="0">
                  <c:v>2100</c:v>
                </c:pt>
                <c:pt idx="1">
                  <c:v>3250</c:v>
                </c:pt>
                <c:pt idx="2">
                  <c:v>12360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9559680"/>
        <c:axId val="119581312"/>
      </c:barChart>
      <c:catAx>
        <c:axId val="11955968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9581312"/>
        <c:crosses val="autoZero"/>
        <c:auto val="1"/>
        <c:lblAlgn val="ctr"/>
        <c:lblOffset val="100"/>
        <c:noMultiLvlLbl val="0"/>
      </c:catAx>
      <c:valAx>
        <c:axId val="119581312"/>
        <c:scaling>
          <c:orientation val="minMax"/>
        </c:scaling>
        <c:delete val="0"/>
        <c:axPos val="l"/>
        <c:majorGridlines/>
        <c:numFmt formatCode="&quot;R$&quot;\ 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955968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abe2160-8345-4155-b728-22d82f523666}"/>
      </c:ext>
    </c:extLst>
  </c:chart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1699260</xdr:colOff>
      <xdr:row>8</xdr:row>
      <xdr:rowOff>15240</xdr:rowOff>
    </xdr:from>
    <xdr:to>
      <xdr:col>5</xdr:col>
      <xdr:colOff>655320</xdr:colOff>
      <xdr:row>23</xdr:row>
      <xdr:rowOff>7620</xdr:rowOff>
    </xdr:to>
    <xdr:graphicFrame>
      <xdr:nvGraphicFramePr>
        <xdr:cNvPr id="2" name="Gráfico 1"/>
        <xdr:cNvGraphicFramePr/>
      </xdr:nvGraphicFramePr>
      <xdr:xfrm>
        <a:off x="6309360" y="1645920"/>
        <a:ext cx="4617720" cy="2735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205740</xdr:colOff>
      <xdr:row>7</xdr:row>
      <xdr:rowOff>160020</xdr:rowOff>
    </xdr:from>
    <xdr:to>
      <xdr:col>3</xdr:col>
      <xdr:colOff>967740</xdr:colOff>
      <xdr:row>22</xdr:row>
      <xdr:rowOff>160020</xdr:rowOff>
    </xdr:to>
    <xdr:graphicFrame>
      <xdr:nvGraphicFramePr>
        <xdr:cNvPr id="3" name="Gráfico 2"/>
        <xdr:cNvGraphicFramePr/>
      </xdr:nvGraphicFramePr>
      <xdr:xfrm>
        <a:off x="822960" y="1607820"/>
        <a:ext cx="47548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3" refreshedVersion="3" minRefreshableVersion="3" refreshedDate="46264.8778752315" refreshedBy="User" recordCount="10">
  <cacheSource type="worksheet">
    <worksheetSource name="Tabela1"/>
  </cacheSource>
  <cacheFields count="7">
    <cacheField name="Data" numFmtId="58">
      <sharedItems containsSemiMixedTypes="0" containsString="0" containsNonDate="0" containsDate="1" minDate="2026-01-05T00:00:00" maxDate="2026-01-14T00:00:00" count="10">
        <d v="2026-01-05T00:00:00"/>
        <d v="2026-01-11T00:00:00"/>
        <d v="2026-01-14T00:00:00"/>
        <d v="2026-01-08T00:00:00"/>
        <d v="2026-01-09T00:00:00"/>
        <d v="2026-01-10T00:00:00"/>
        <d v="2026-01-13T00:00:00"/>
        <d v="2026-01-12T00:00:00"/>
        <d v="2026-01-07T00:00:00"/>
        <d v="2026-01-06T00:00:00"/>
      </sharedItems>
    </cacheField>
    <cacheField name="Produto" numFmtId="0">
      <sharedItems count="10">
        <s v="Notebook"/>
        <s v="Celular"/>
        <s v="Impressora"/>
        <s v="Cadeira"/>
        <s v="Mesa"/>
        <s v="Fone"/>
        <s v="Mochila"/>
        <s v="Caderno"/>
        <s v="Teclado"/>
        <s v="Mouse"/>
      </sharedItems>
    </cacheField>
    <cacheField name="Categoria" numFmtId="0">
      <sharedItems count="3">
        <s v="Eletrônicos"/>
        <s v="Móveis"/>
        <s v="Papelaria"/>
      </sharedItems>
    </cacheField>
    <cacheField name="Qauntidade" numFmtId="0">
      <sharedItems containsSemiMixedTypes="0" containsString="0" containsNumber="1" containsInteger="1" minValue="0" maxValue="20" count="8">
        <n v="2"/>
        <n v="4"/>
        <n v="1"/>
        <n v="10"/>
        <n v="8"/>
        <n v="20"/>
        <n v="3"/>
        <n v="5"/>
      </sharedItems>
    </cacheField>
    <cacheField name="Preço" numFmtId="0">
      <sharedItems containsSemiMixedTypes="0" containsString="0" containsNumber="1" containsInteger="1" minValue="0" maxValue="3000" count="10">
        <n v="3000"/>
        <n v="1000"/>
        <n v="900"/>
        <n v="700"/>
        <n v="1200"/>
        <n v="100"/>
        <n v="120"/>
        <n v="25"/>
        <n v="150"/>
        <n v="80"/>
      </sharedItems>
    </cacheField>
    <cacheField name="Cidade" numFmtId="0">
      <sharedItems count="3">
        <s v="São Paulo"/>
        <s v="Santos"/>
        <s v="Campinas"/>
      </sharedItems>
    </cacheField>
    <cacheField name="Faturamento 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x v="0"/>
    <x v="0"/>
    <n v="6000"/>
  </r>
  <r>
    <x v="1"/>
    <x v="1"/>
    <x v="0"/>
    <x v="1"/>
    <x v="1"/>
    <x v="0"/>
    <n v="4000"/>
  </r>
  <r>
    <x v="2"/>
    <x v="2"/>
    <x v="0"/>
    <x v="0"/>
    <x v="2"/>
    <x v="1"/>
    <n v="1800"/>
  </r>
  <r>
    <x v="3"/>
    <x v="3"/>
    <x v="1"/>
    <x v="0"/>
    <x v="3"/>
    <x v="0"/>
    <n v="1400"/>
  </r>
  <r>
    <x v="4"/>
    <x v="4"/>
    <x v="1"/>
    <x v="2"/>
    <x v="4"/>
    <x v="2"/>
    <n v="1200"/>
  </r>
  <r>
    <x v="5"/>
    <x v="5"/>
    <x v="0"/>
    <x v="3"/>
    <x v="5"/>
    <x v="1"/>
    <n v="1000"/>
  </r>
  <r>
    <x v="6"/>
    <x v="6"/>
    <x v="2"/>
    <x v="4"/>
    <x v="6"/>
    <x v="0"/>
    <n v="960"/>
  </r>
  <r>
    <x v="7"/>
    <x v="7"/>
    <x v="2"/>
    <x v="5"/>
    <x v="7"/>
    <x v="2"/>
    <n v="500"/>
  </r>
  <r>
    <x v="8"/>
    <x v="8"/>
    <x v="0"/>
    <x v="6"/>
    <x v="8"/>
    <x v="1"/>
    <n v="450"/>
  </r>
  <r>
    <x v="9"/>
    <x v="9"/>
    <x v="0"/>
    <x v="7"/>
    <x v="9"/>
    <x v="2"/>
    <n v="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utoFormatId="1" applyNumberFormats="0" applyBorderFormats="0" applyFontFormats="0" applyPatternFormats="0" applyAlignmentFormats="0" applyWidthHeightFormats="1" dataCaption="Valores" updatedVersion="3" minRefreshableVersion="3" createdVersion="3" useAutoFormatting="1" indent="0" outline="1" outlineData="1" showDrill="1" multipleFieldFilters="0">
  <location ref="A3:B7" firstHeaderRow="1" firstDataRow="1" firstDataCol="1"/>
  <pivotFields count="7">
    <pivotField numFmtId="58" showAll="0">
      <items count="11">
        <item x="0"/>
        <item x="9"/>
        <item x="8"/>
        <item x="3"/>
        <item x="4"/>
        <item x="5"/>
        <item x="1"/>
        <item x="7"/>
        <item x="6"/>
        <item x="2"/>
        <item t="default"/>
      </items>
    </pivotField>
    <pivotField showAll="0">
      <items count="11">
        <item x="3"/>
        <item x="7"/>
        <item x="1"/>
        <item x="5"/>
        <item x="2"/>
        <item x="4"/>
        <item x="6"/>
        <item x="9"/>
        <item x="0"/>
        <item x="8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>
      <items count="9">
        <item x="2"/>
        <item x="0"/>
        <item x="6"/>
        <item x="1"/>
        <item x="7"/>
        <item x="4"/>
        <item x="3"/>
        <item x="5"/>
        <item t="default"/>
      </items>
    </pivotField>
    <pivotField dataField="1" showAll="0">
      <items count="11">
        <item x="7"/>
        <item x="9"/>
        <item x="5"/>
        <item x="6"/>
        <item x="8"/>
        <item x="3"/>
        <item x="2"/>
        <item x="1"/>
        <item x="4"/>
        <item x="0"/>
        <item t="default"/>
      </items>
    </pivotField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Preço" fld="4" baseField="0" baseItem="0"/>
  </dataFields>
  <pivotTableStyleInfo name="PivotStyleLight16" showRowHeaders="1" showColHeaders="1" showLastColumn="1"/>
</pivotTableDefinition>
</file>

<file path=xl/pivotTables/pivotTable2.xml><?xml version="1.0" encoding="utf-8"?>
<pivotTableDefinition xmlns="http://schemas.openxmlformats.org/spreadsheetml/2006/main" name="Tabela dinâmica2" cacheId="0" autoFormatId="1" applyNumberFormats="0" applyBorderFormats="0" applyFontFormats="0" applyPatternFormats="0" applyAlignmentFormats="0" applyWidthHeightFormats="1" dataCaption="Valores" updatedVersion="3" minRefreshableVersion="3" createdVersion="3" useAutoFormatting="1" indent="0" outline="1" outlineData="1" showDrill="1" multipleFieldFilters="0" chartFormat="3">
  <location ref="A3:B7" firstHeaderRow="1" firstDataRow="1" firstDataCol="1"/>
  <pivotFields count="7">
    <pivotField numFmtId="58" showAll="0">
      <items count="11">
        <item x="0"/>
        <item x="9"/>
        <item x="8"/>
        <item x="3"/>
        <item x="4"/>
        <item x="5"/>
        <item x="1"/>
        <item x="7"/>
        <item x="6"/>
        <item x="2"/>
        <item t="default"/>
      </items>
    </pivotField>
    <pivotField showAll="0">
      <items count="11">
        <item x="3"/>
        <item x="7"/>
        <item x="1"/>
        <item x="5"/>
        <item x="2"/>
        <item x="4"/>
        <item x="6"/>
        <item x="9"/>
        <item x="0"/>
        <item x="8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Faturamento " fld="6" baseField="0" baseItem="0" numFmtId="181"/>
  </dataFields>
  <formats count="1">
    <format dxfId="0">
      <pivotArea outline="0" collapsedLevelsAreSubtotals="1" fieldPosition="0"/>
    </format>
  </formats>
  <pivotTableStyleInfo name="PivotStyleLight16" showRowHeaders="1" showColHeaders="1" showLastColumn="1"/>
</pivotTableDefinition>
</file>

<file path=xl/pivotTables/pivotTable3.xml><?xml version="1.0" encoding="utf-8"?>
<pivotTableDefinition xmlns="http://schemas.openxmlformats.org/spreadsheetml/2006/main" name="Tabela dinâmica3" cacheId="0" autoFormatId="1" applyNumberFormats="0" applyBorderFormats="0" applyFontFormats="0" applyPatternFormats="0" applyAlignmentFormats="0" applyWidthHeightFormats="1" dataCaption="Valores" updatedVersion="3" minRefreshableVersion="3" createdVersion="3" useAutoFormatting="1" indent="0" outline="1" outlineData="1" showDrill="1" multipleFieldFilters="0" chartFormat="3">
  <location ref="A3:B7" firstHeaderRow="1" firstDataRow="1" firstDataCol="1"/>
  <pivotFields count="7">
    <pivotField numFmtId="58" showAll="0">
      <items count="11">
        <item x="0"/>
        <item x="9"/>
        <item x="8"/>
        <item x="3"/>
        <item x="4"/>
        <item x="5"/>
        <item x="1"/>
        <item x="7"/>
        <item x="6"/>
        <item x="2"/>
        <item t="default"/>
      </items>
    </pivotField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dataFiel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Faturamento " fld="6" baseField="0" baseItem="0" numFmtId="181"/>
  </dataFields>
  <formats count="1">
    <format dxfId="1">
      <pivotArea outline="0" collapsedLevelsAreSubtotals="1" fieldPosition="0"/>
    </format>
  </formats>
  <pivotTableStyleInfo name="PivotStyleLight16" showRowHeaders="1" showColHeaders="1" showLastColumn="1"/>
</pivotTableDefinition>
</file>

<file path=xl/tables/table1.xml><?xml version="1.0" encoding="utf-8"?>
<table xmlns="http://schemas.openxmlformats.org/spreadsheetml/2006/main" id="1" name="Tabela1" displayName="Tabela1" ref="A1:G11" totalsRowShown="0">
  <autoFilter xmlns:etc="http://www.wps.cn/officeDocument/2017/etCustomData" ref="A1:G11" etc:filterBottomFollowUsedRange="0"/>
  <sortState ref="A1:G11">
    <sortCondition ref="G1:G11" descending="1"/>
  </sortState>
  <tableColumns count="7">
    <tableColumn id="1" name="Data" dataDxfId="2"/>
    <tableColumn id="2" name="Produto" dataDxfId="3"/>
    <tableColumn id="3" name="Categoria" dataDxfId="4"/>
    <tableColumn id="4" name="Qauntidade" dataDxfId="5"/>
    <tableColumn id="5" name="Preço" dataDxfId="6"/>
    <tableColumn id="6" name="Cidade" dataDxfId="7"/>
    <tableColumn id="7" name="Faturamento " dataDxfId="8">
      <calculatedColumnFormula>D2*E2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D6" sqref="D6"/>
    </sheetView>
  </sheetViews>
  <sheetFormatPr defaultColWidth="9" defaultRowHeight="14.4" outlineLevelRow="6" outlineLevelCol="1"/>
  <cols>
    <col min="1" max="1" width="17.2222222222222" customWidth="1"/>
    <col min="2" max="3" width="13.6666666666667" customWidth="1"/>
  </cols>
  <sheetData>
    <row r="3" spans="1:2">
      <c r="A3" t="s">
        <v>0</v>
      </c>
      <c r="B3" t="s">
        <v>1</v>
      </c>
    </row>
    <row r="4" spans="1:2">
      <c r="A4" s="29" t="s">
        <v>2</v>
      </c>
      <c r="B4" s="30">
        <v>5230</v>
      </c>
    </row>
    <row r="5" spans="1:2">
      <c r="A5" s="29" t="s">
        <v>3</v>
      </c>
      <c r="B5" s="30">
        <v>1900</v>
      </c>
    </row>
    <row r="6" spans="1:2">
      <c r="A6" s="29" t="s">
        <v>4</v>
      </c>
      <c r="B6" s="30">
        <v>145</v>
      </c>
    </row>
    <row r="7" spans="1:2">
      <c r="A7" s="29" t="s">
        <v>5</v>
      </c>
      <c r="B7" s="30">
        <v>7275</v>
      </c>
    </row>
  </sheetData>
  <pageMargins left="0.511811024" right="0.511811024" top="0.787401575" bottom="0.787401575" header="0.31496062" footer="0.31496062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1"/>
  <sheetViews>
    <sheetView topLeftCell="A4" workbookViewId="0">
      <selection activeCell="C18" sqref="C18"/>
    </sheetView>
  </sheetViews>
  <sheetFormatPr defaultColWidth="9" defaultRowHeight="14.4" outlineLevelCol="1"/>
  <cols>
    <col min="1" max="1" width="17.2222222222222" customWidth="1"/>
    <col min="2" max="3" width="20.3333333333333" customWidth="1"/>
    <col min="4" max="4" width="13.6666666666667" customWidth="1"/>
  </cols>
  <sheetData>
    <row r="3" spans="1:2">
      <c r="A3" t="s">
        <v>0</v>
      </c>
      <c r="B3" t="s">
        <v>6</v>
      </c>
    </row>
    <row r="4" spans="1:2">
      <c r="A4" s="29" t="s">
        <v>2</v>
      </c>
      <c r="B4" s="24">
        <v>13650</v>
      </c>
    </row>
    <row r="5" spans="1:2">
      <c r="A5" s="29" t="s">
        <v>3</v>
      </c>
      <c r="B5" s="24">
        <v>2600</v>
      </c>
    </row>
    <row r="6" spans="1:2">
      <c r="A6" s="29" t="s">
        <v>4</v>
      </c>
      <c r="B6" s="24">
        <v>1460</v>
      </c>
    </row>
    <row r="7" spans="1:2">
      <c r="A7" s="29" t="s">
        <v>5</v>
      </c>
      <c r="B7" s="24">
        <v>17710</v>
      </c>
    </row>
    <row r="21" spans="2:2">
      <c r="B21">
        <f>13650/17710*100</f>
        <v>77.0750988142292</v>
      </c>
    </row>
  </sheetData>
  <pageMargins left="0.511811024" right="0.511811024" top="0.787401575" bottom="0.787401575" header="0.31496062" footer="0.31496062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B4" sqref="B4:B7"/>
    </sheetView>
  </sheetViews>
  <sheetFormatPr defaultColWidth="9" defaultRowHeight="14.4" outlineLevelRow="6" outlineLevelCol="1"/>
  <cols>
    <col min="1" max="1" width="17.2222222222222" customWidth="1"/>
    <col min="2" max="2" width="20.3333333333333" customWidth="1"/>
  </cols>
  <sheetData>
    <row r="3" spans="1:2">
      <c r="A3" t="s">
        <v>0</v>
      </c>
      <c r="B3" t="s">
        <v>6</v>
      </c>
    </row>
    <row r="4" spans="1:2">
      <c r="A4" s="29" t="s">
        <v>7</v>
      </c>
      <c r="B4" s="24">
        <v>2100</v>
      </c>
    </row>
    <row r="5" spans="1:2">
      <c r="A5" s="29" t="s">
        <v>8</v>
      </c>
      <c r="B5" s="24">
        <v>3250</v>
      </c>
    </row>
    <row r="6" spans="1:2">
      <c r="A6" s="29" t="s">
        <v>9</v>
      </c>
      <c r="B6" s="24">
        <v>12360</v>
      </c>
    </row>
    <row r="7" spans="1:2">
      <c r="A7" s="29" t="s">
        <v>5</v>
      </c>
      <c r="B7" s="24">
        <v>17710</v>
      </c>
    </row>
  </sheetData>
  <pageMargins left="0.511811024" right="0.511811024" top="0.787401575" bottom="0.787401575" header="0.31496062" footer="0.31496062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showGridLines="0" workbookViewId="0">
      <selection activeCell="F16" sqref="F16"/>
    </sheetView>
  </sheetViews>
  <sheetFormatPr defaultColWidth="9" defaultRowHeight="14.4" outlineLevelCol="6"/>
  <cols>
    <col min="1" max="1" width="11" customWidth="1"/>
    <col min="2" max="2" width="10.1111111111111" customWidth="1"/>
    <col min="3" max="3" width="10.7777777777778" customWidth="1"/>
    <col min="4" max="4" width="12.3333333333333" customWidth="1"/>
    <col min="5" max="5" width="11.8888888888889" style="24" customWidth="1"/>
    <col min="6" max="6" width="9" customWidth="1"/>
    <col min="7" max="7" width="13.8888888888889" customWidth="1"/>
  </cols>
  <sheetData>
    <row r="1" spans="1:7">
      <c r="A1" s="25" t="s">
        <v>10</v>
      </c>
      <c r="B1" s="25" t="s">
        <v>11</v>
      </c>
      <c r="C1" s="25" t="s">
        <v>12</v>
      </c>
      <c r="D1" s="25" t="s">
        <v>13</v>
      </c>
      <c r="E1" s="26" t="s">
        <v>14</v>
      </c>
      <c r="F1" s="25" t="s">
        <v>15</v>
      </c>
      <c r="G1" s="25" t="s">
        <v>16</v>
      </c>
    </row>
    <row r="2" spans="1:7">
      <c r="A2" s="27">
        <v>46027</v>
      </c>
      <c r="B2" s="9" t="s">
        <v>17</v>
      </c>
      <c r="C2" s="9" t="s">
        <v>2</v>
      </c>
      <c r="D2" s="9">
        <v>2</v>
      </c>
      <c r="E2" s="28">
        <v>3000</v>
      </c>
      <c r="F2" s="9" t="s">
        <v>9</v>
      </c>
      <c r="G2" s="28">
        <f t="shared" ref="G2:G11" si="0">D2*E2</f>
        <v>6000</v>
      </c>
    </row>
    <row r="3" spans="1:7">
      <c r="A3" s="27">
        <v>46033</v>
      </c>
      <c r="B3" s="9" t="s">
        <v>18</v>
      </c>
      <c r="C3" s="9" t="s">
        <v>2</v>
      </c>
      <c r="D3" s="9">
        <v>4</v>
      </c>
      <c r="E3" s="28">
        <v>1000</v>
      </c>
      <c r="F3" s="9" t="s">
        <v>9</v>
      </c>
      <c r="G3" s="28">
        <f t="shared" si="0"/>
        <v>4000</v>
      </c>
    </row>
    <row r="4" spans="1:7">
      <c r="A4" s="27">
        <v>46036</v>
      </c>
      <c r="B4" s="9" t="s">
        <v>19</v>
      </c>
      <c r="C4" s="9" t="s">
        <v>2</v>
      </c>
      <c r="D4" s="9">
        <v>2</v>
      </c>
      <c r="E4" s="28">
        <v>900</v>
      </c>
      <c r="F4" s="9" t="s">
        <v>8</v>
      </c>
      <c r="G4" s="28">
        <f t="shared" si="0"/>
        <v>1800</v>
      </c>
    </row>
    <row r="5" spans="1:7">
      <c r="A5" s="27">
        <v>46030</v>
      </c>
      <c r="B5" s="9" t="s">
        <v>20</v>
      </c>
      <c r="C5" s="9" t="s">
        <v>3</v>
      </c>
      <c r="D5" s="9">
        <v>2</v>
      </c>
      <c r="E5" s="28">
        <v>700</v>
      </c>
      <c r="F5" s="9" t="s">
        <v>9</v>
      </c>
      <c r="G5" s="28">
        <f t="shared" si="0"/>
        <v>1400</v>
      </c>
    </row>
    <row r="6" spans="1:7">
      <c r="A6" s="27">
        <v>46031</v>
      </c>
      <c r="B6" s="9" t="s">
        <v>21</v>
      </c>
      <c r="C6" s="9" t="s">
        <v>3</v>
      </c>
      <c r="D6" s="9">
        <v>1</v>
      </c>
      <c r="E6" s="28">
        <v>1200</v>
      </c>
      <c r="F6" s="9" t="s">
        <v>7</v>
      </c>
      <c r="G6" s="28">
        <f t="shared" si="0"/>
        <v>1200</v>
      </c>
    </row>
    <row r="7" spans="1:7">
      <c r="A7" s="27">
        <v>46032</v>
      </c>
      <c r="B7" s="9" t="s">
        <v>22</v>
      </c>
      <c r="C7" s="9" t="s">
        <v>2</v>
      </c>
      <c r="D7" s="9">
        <v>10</v>
      </c>
      <c r="E7" s="28">
        <v>100</v>
      </c>
      <c r="F7" s="9" t="s">
        <v>8</v>
      </c>
      <c r="G7" s="28">
        <f t="shared" si="0"/>
        <v>1000</v>
      </c>
    </row>
    <row r="8" spans="1:7">
      <c r="A8" s="27">
        <v>46035</v>
      </c>
      <c r="B8" s="9" t="s">
        <v>23</v>
      </c>
      <c r="C8" s="9" t="s">
        <v>4</v>
      </c>
      <c r="D8" s="9">
        <v>8</v>
      </c>
      <c r="E8" s="28">
        <v>120</v>
      </c>
      <c r="F8" s="9" t="s">
        <v>9</v>
      </c>
      <c r="G8" s="28">
        <f t="shared" si="0"/>
        <v>960</v>
      </c>
    </row>
    <row r="9" spans="1:7">
      <c r="A9" s="27">
        <v>46034</v>
      </c>
      <c r="B9" s="9" t="s">
        <v>24</v>
      </c>
      <c r="C9" s="9" t="s">
        <v>4</v>
      </c>
      <c r="D9" s="9">
        <v>20</v>
      </c>
      <c r="E9" s="28">
        <v>25</v>
      </c>
      <c r="F9" s="9" t="s">
        <v>7</v>
      </c>
      <c r="G9" s="28">
        <f t="shared" si="0"/>
        <v>500</v>
      </c>
    </row>
    <row r="10" spans="1:7">
      <c r="A10" s="27">
        <v>46029</v>
      </c>
      <c r="B10" s="9" t="s">
        <v>25</v>
      </c>
      <c r="C10" s="9" t="s">
        <v>2</v>
      </c>
      <c r="D10" s="9">
        <v>3</v>
      </c>
      <c r="E10" s="28">
        <v>150</v>
      </c>
      <c r="F10" s="9" t="s">
        <v>8</v>
      </c>
      <c r="G10" s="28">
        <f t="shared" si="0"/>
        <v>450</v>
      </c>
    </row>
    <row r="11" spans="1:7">
      <c r="A11" s="27">
        <v>46028</v>
      </c>
      <c r="B11" s="9" t="s">
        <v>26</v>
      </c>
      <c r="C11" s="9" t="s">
        <v>2</v>
      </c>
      <c r="D11" s="9">
        <v>5</v>
      </c>
      <c r="E11" s="28">
        <v>80</v>
      </c>
      <c r="F11" s="9" t="s">
        <v>7</v>
      </c>
      <c r="G11" s="28">
        <f t="shared" si="0"/>
        <v>400</v>
      </c>
    </row>
  </sheetData>
  <pageMargins left="0.511811024" right="0.511811024" top="0.787401575" bottom="0.787401575" header="0.31496062" footer="0.31496062"/>
  <pageSetup paperSize="9" orientation="portrait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511811024" right="0.511811024" top="0.787401575" bottom="0.787401575" header="0.31496062" footer="0.31496062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511811024" right="0.511811024" top="0.787401575" bottom="0.787401575" header="0.31496062" footer="0.31496062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511811024" right="0.511811024" top="0.787401575" bottom="0.787401575" header="0.31496062" footer="0.31496062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I8"/>
  <sheetViews>
    <sheetView showGridLines="0" topLeftCell="B1" workbookViewId="0">
      <selection activeCell="D6" sqref="D6"/>
    </sheetView>
  </sheetViews>
  <sheetFormatPr defaultColWidth="9" defaultRowHeight="14.4" outlineLevelRow="7"/>
  <cols>
    <col min="2" max="2" width="41.2222222222222" customWidth="1"/>
    <col min="3" max="3" width="17" customWidth="1"/>
    <col min="4" max="4" width="41.2222222222222" customWidth="1"/>
    <col min="5" max="7" width="41.3333333333333" customWidth="1"/>
    <col min="8" max="8" width="15.1111111111111" customWidth="1"/>
  </cols>
  <sheetData>
    <row r="3" ht="24.6" spans="2:9">
      <c r="C3" s="10"/>
      <c r="D3" s="11" t="s">
        <v>27</v>
      </c>
      <c r="E3" s="9"/>
    </row>
    <row r="4" ht="15" spans="2:9">
      <c r="C4" s="12"/>
      <c r="D4" s="13" t="s">
        <v>28</v>
      </c>
      <c r="E4" s="12"/>
    </row>
    <row r="5" spans="2:9">
      <c r="B5" s="14" t="s">
        <v>29</v>
      </c>
      <c r="C5" s="15" t="s">
        <v>30</v>
      </c>
      <c r="D5" s="14" t="s">
        <v>31</v>
      </c>
      <c r="E5" s="14" t="s">
        <v>32</v>
      </c>
      <c r="H5" s="16"/>
      <c r="I5" s="16"/>
    </row>
    <row r="6" ht="15.6" spans="2:9">
      <c r="B6" s="17">
        <v>17710</v>
      </c>
      <c r="C6" s="18">
        <f>MAX('Base de Dados'!G2:G11)</f>
        <v>6000</v>
      </c>
      <c r="D6" s="19" t="s">
        <v>24</v>
      </c>
      <c r="E6" s="17" t="s">
        <v>9</v>
      </c>
      <c r="H6" s="20"/>
      <c r="I6" s="16"/>
    </row>
    <row r="7" ht="15.6" spans="2:9">
      <c r="B7" s="21"/>
      <c r="C7" s="21"/>
      <c r="D7" s="22" t="s">
        <v>33</v>
      </c>
      <c r="E7" s="18">
        <v>12360</v>
      </c>
      <c r="F7" s="23"/>
      <c r="G7" s="23"/>
      <c r="H7" s="16"/>
      <c r="I7" s="16"/>
    </row>
    <row r="8" spans="2:9">
      <c r="F8" s="16"/>
      <c r="G8" s="16"/>
      <c r="H8" s="16"/>
      <c r="I8" s="16"/>
    </row>
  </sheetData>
  <pageMargins left="0.511811024" right="0.511811024" top="0.787401575" bottom="0.787401575" header="0.31496062" footer="0.31496062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26"/>
  <sheetViews>
    <sheetView showGridLines="0" tabSelected="1" workbookViewId="0">
      <selection activeCell="B1" sqref="B1"/>
    </sheetView>
  </sheetViews>
  <sheetFormatPr defaultColWidth="9" defaultRowHeight="14.4" outlineLevelCol="1"/>
  <cols>
    <col min="2" max="2" width="143" customWidth="1"/>
  </cols>
  <sheetData>
    <row r="2" ht="21" spans="2:2">
      <c r="B2" s="1" t="s">
        <v>34</v>
      </c>
    </row>
    <row r="3" ht="15.6" spans="2:2">
      <c r="B3" s="2" t="s">
        <v>35</v>
      </c>
    </row>
    <row r="4" ht="15.6" spans="2:2">
      <c r="B4" s="3">
        <v>17710</v>
      </c>
    </row>
    <row r="5" ht="15.6" spans="2:2">
      <c r="B5" s="4" t="s">
        <v>36</v>
      </c>
    </row>
    <row r="6" ht="15.6" spans="2:2">
      <c r="B6" s="4" t="s">
        <v>2</v>
      </c>
    </row>
    <row r="7" ht="15.6" spans="2:2">
      <c r="B7" s="3">
        <v>13650</v>
      </c>
    </row>
    <row r="8" ht="15.6" spans="2:2">
      <c r="B8" s="4" t="s">
        <v>37</v>
      </c>
    </row>
    <row r="9" ht="15.6" spans="2:2">
      <c r="B9" s="4" t="s">
        <v>9</v>
      </c>
    </row>
    <row r="10" ht="15.6" spans="2:2">
      <c r="B10" s="3">
        <v>12360</v>
      </c>
    </row>
    <row r="11" ht="15.6" spans="2:2">
      <c r="B11" s="5" t="s">
        <v>38</v>
      </c>
    </row>
    <row r="12" ht="15.6" spans="2:2">
      <c r="B12" s="5" t="s">
        <v>24</v>
      </c>
    </row>
    <row r="13" ht="15.6" spans="2:2">
      <c r="B13" s="6" t="s">
        <v>33</v>
      </c>
    </row>
    <row r="14" ht="15.6" spans="2:2">
      <c r="B14" s="5" t="s">
        <v>39</v>
      </c>
    </row>
    <row r="15" ht="15.6" spans="2:2">
      <c r="B15" s="5" t="s">
        <v>40</v>
      </c>
    </row>
    <row r="16" ht="15.6" spans="2:2">
      <c r="B16" s="3">
        <v>6000</v>
      </c>
    </row>
    <row r="17" ht="17.4" spans="2:2">
      <c r="B17" s="7" t="s">
        <v>41</v>
      </c>
    </row>
    <row r="19" ht="15.6" spans="2:2">
      <c r="B19" s="8" t="s">
        <v>42</v>
      </c>
    </row>
    <row r="20" spans="2:2">
      <c r="B20" s="9" t="s">
        <v>43</v>
      </c>
    </row>
    <row r="22" ht="15.6" spans="2:2">
      <c r="B22" s="8" t="s">
        <v>44</v>
      </c>
    </row>
    <row r="23" spans="2:2">
      <c r="B23" s="9" t="s">
        <v>45</v>
      </c>
    </row>
    <row r="25" ht="15.6" spans="2:2">
      <c r="B25" s="8" t="s">
        <v>46</v>
      </c>
    </row>
    <row r="26" spans="2:2">
      <c r="B26" s="9" t="s">
        <v>47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Plan4</vt:lpstr>
      <vt:lpstr>Plan6</vt:lpstr>
      <vt:lpstr>Plan7</vt:lpstr>
      <vt:lpstr>Base de Dados</vt:lpstr>
      <vt:lpstr>Plan2</vt:lpstr>
      <vt:lpstr>Plan3</vt:lpstr>
      <vt:lpstr>Plan5</vt:lpstr>
      <vt:lpstr>Dashboard</vt:lpstr>
      <vt:lpstr>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2026-08-30T23:39:00Z</dcterms:created>
  <dcterms:modified xsi:type="dcterms:W3CDTF">2026-09-01T00:31:19Z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2401207E293C494D994A8A63CAAC695F_12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0</vt:i4>
  </property>
</Properties>
</file>